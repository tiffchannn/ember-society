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heck-in list" sheetId="2" state="visible" r:id="rId2"/>
    <sheet name="Waivers" sheetId="3" state="visible" r:id="rId3"/>
  </sheets>
  <definedNames>
    <definedName name="_xlnm.Print_Titles" localSheetId="1">'Check-in list'!$1:$1</definedName>
    <definedName name="_xlnm.Print_Area" localSheetId="1">'Check-in list'!$A$1:$G$41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Georgia"/>
      <b val="1"/>
      <color rgb="00A16139"/>
      <sz val="18"/>
    </font>
    <font>
      <color rgb="0034302F"/>
      <sz val="11"/>
    </font>
    <font>
      <b val="1"/>
      <color rgb="0034302F"/>
      <sz val="11"/>
    </font>
    <font>
      <b val="1"/>
      <color rgb="0034302F"/>
      <sz val="12"/>
    </font>
    <font>
      <i val="1"/>
      <color rgb="007A736F"/>
      <sz val="10"/>
    </font>
    <font>
      <b val="1"/>
      <color rgb="00A16139"/>
      <sz val="12"/>
    </font>
    <font>
      <b val="1"/>
      <color rgb="00B3261E"/>
      <sz val="12"/>
    </font>
    <font>
      <b val="1"/>
      <color rgb="00F6F6E9"/>
      <sz val="11"/>
    </font>
    <font>
      <i val="1"/>
      <color rgb="007A736F"/>
      <sz val="11"/>
    </font>
  </fonts>
  <fills count="3">
    <fill>
      <patternFill/>
    </fill>
    <fill>
      <patternFill patternType="gray125"/>
    </fill>
    <fill>
      <patternFill patternType="solid">
        <fgColor rgb="0034302F"/>
      </patternFill>
    </fill>
  </fills>
  <borders count="2">
    <border>
      <left/>
      <right/>
      <top/>
      <bottom/>
      <diagonal/>
    </border>
    <border>
      <bottom style="thin">
        <color rgb="00D8D3C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/>
    </xf>
    <xf numFmtId="0" fontId="9" fillId="0" borderId="0" pivotButton="0" quotePrefix="0" xfId="0"/>
  </cellXfs>
  <cellStyles count="1">
    <cellStyle name="Normal" xfId="0" builtinId="0" hidden="0"/>
  </cellStyles>
  <dxfs count="4">
    <dxf>
      <font>
        <b val="1"/>
        <color rgb="00B3261E"/>
      </font>
      <fill>
        <patternFill patternType="solid">
          <fgColor rgb="00FBD9D5"/>
        </patternFill>
      </fill>
    </dxf>
    <dxf>
      <font>
        <color rgb="002E6B3E"/>
      </font>
    </dxf>
    <dxf>
      <font>
        <color rgb="008A5A12"/>
      </font>
      <fill>
        <patternFill patternType="solid">
          <fgColor rgb="00FBEFD8"/>
        </patternFill>
      </fill>
    </dxf>
    <dxf>
      <font>
        <b val="1"/>
        <color rgb="008A5A12"/>
      </font>
      <fill>
        <patternFill patternType="solid">
          <fgColor rgb="00FBEF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16139"/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76" customWidth="1" min="1" max="1"/>
    <col width="3" customWidth="1" min="2" max="2"/>
    <col width="14" customWidth="1" min="3" max="3"/>
  </cols>
  <sheetData>
    <row r="1">
      <c r="A1" s="1" t="inlineStr">
        <is>
          <t>Ember Society — event check-in</t>
        </is>
      </c>
    </row>
    <row r="2">
      <c r="A2" s="2" t="inlineStr"/>
    </row>
    <row r="3">
      <c r="A3" s="3" t="inlineStr">
        <is>
          <t>Do steps 1 and 2 the DAY BEFORE the event. Step 3 is the day itself.</t>
        </is>
      </c>
    </row>
    <row r="4">
      <c r="A4" s="2" t="inlineStr"/>
    </row>
    <row r="5">
      <c r="A5" s="4" t="inlineStr">
        <is>
          <t>STEP 1 — Paste who bought tickets</t>
        </is>
      </c>
    </row>
    <row r="6">
      <c r="A6" s="2" t="inlineStr">
        <is>
          <t>In Stripe, open this event's payment link and export the payments.</t>
        </is>
      </c>
    </row>
    <row r="7">
      <c r="A7" s="2" t="inlineStr">
        <is>
          <t>Copy the NAME and EMAIL of each buyer.</t>
        </is>
      </c>
    </row>
    <row r="8">
      <c r="A8" s="2" t="inlineStr">
        <is>
          <t>Paste them into the 'Check-in list' tab, under Name and Email.</t>
        </is>
      </c>
    </row>
    <row r="9">
      <c r="A9" s="5" t="inlineStr">
        <is>
          <t>Nothing else on that tab needs typing — the rest fills itself in.</t>
        </is>
      </c>
    </row>
    <row r="10">
      <c r="A10" s="2" t="inlineStr"/>
    </row>
    <row r="11">
      <c r="A11" s="4" t="inlineStr">
        <is>
          <t>STEP 2 — Paste who signed the waiver</t>
        </is>
      </c>
    </row>
    <row r="12">
      <c r="A12" s="2" t="inlineStr">
        <is>
          <t>Open the waiver response spreadsheet (the one linked to the Google Form).</t>
        </is>
      </c>
    </row>
    <row r="13">
      <c r="A13" s="2" t="inlineStr">
        <is>
          <t>Select everything, including the top row of headings, and copy.</t>
        </is>
      </c>
    </row>
    <row r="14">
      <c r="A14" s="2" t="inlineStr">
        <is>
          <t>Paste it into the 'Waivers' tab, starting in the very first cell (A1).</t>
        </is>
      </c>
    </row>
    <row r="15">
      <c r="A15" s="5" t="inlineStr">
        <is>
          <t>Keep the headings — the formulas find columns by their names, so the</t>
        </is>
      </c>
    </row>
    <row r="16">
      <c r="A16" s="5" t="inlineStr">
        <is>
          <t>order of the columns does not matter.</t>
        </is>
      </c>
    </row>
    <row r="17">
      <c r="A17" s="2" t="inlineStr"/>
    </row>
    <row r="18">
      <c r="A18" s="4" t="inlineStr">
        <is>
          <t>STEP 3 — Check the list, then print it</t>
        </is>
      </c>
    </row>
    <row r="19">
      <c r="A19" s="2" t="inlineStr">
        <is>
          <t>Go to the 'Check-in list' tab. Anyone in red has NOT signed.</t>
        </is>
      </c>
    </row>
    <row r="20">
      <c r="A20" s="2" t="inlineStr">
        <is>
          <t>Message those people the waiver link that evening.</t>
        </is>
      </c>
    </row>
    <row r="21">
      <c r="A21" s="2" t="inlineStr">
        <is>
          <t>Then print the tab and take it with you. Tick 'Here' as people arrive.</t>
        </is>
      </c>
    </row>
    <row r="22">
      <c r="A22" s="2" t="inlineStr"/>
    </row>
    <row r="23">
      <c r="A23" s="4" t="inlineStr">
        <is>
          <t>WHERE WE ARE</t>
        </is>
      </c>
    </row>
    <row r="24">
      <c r="A24" s="2" t="inlineStr"/>
    </row>
    <row r="25">
      <c r="A25" s="2" t="inlineStr">
        <is>
          <t>Ticket holders</t>
        </is>
      </c>
      <c r="C25" s="6">
        <f>COUNTA('Check-in list'!$A$2:$A$41)</f>
        <v/>
      </c>
    </row>
    <row r="26">
      <c r="A26" s="2" t="inlineStr">
        <is>
          <t>Waivers signed</t>
        </is>
      </c>
      <c r="C26" s="6">
        <f>COUNTIF('Check-in list'!$C$2:$C$41,"YES*")</f>
        <v/>
      </c>
    </row>
    <row r="27">
      <c r="A27" s="2" t="inlineStr">
        <is>
          <t>Still to chase</t>
        </is>
      </c>
      <c r="C27" s="7">
        <f>COUNTIF('Check-in list'!$C$2:$C$41,"NOT SIGNED")</f>
        <v/>
      </c>
    </row>
    <row r="28">
      <c r="A28" s="2" t="inlineStr">
        <is>
          <t>Not to be photographed</t>
        </is>
      </c>
      <c r="C28" s="6">
        <f>COUNTIF('Check-in list'!$D$2:$D$41,"DO NOT PHOTO")</f>
        <v/>
      </c>
    </row>
    <row r="29">
      <c r="A29" s="2" t="inlineStr"/>
    </row>
    <row r="30">
      <c r="A30" s="4" t="inlineStr">
        <is>
          <t>IF SOMETHING LOOKS WRONG</t>
        </is>
      </c>
    </row>
    <row r="31">
      <c r="A31" s="2" t="inlineStr">
        <is>
          <t>A whole column showing 'check headings' means the Waivers tab is empty,</t>
        </is>
      </c>
    </row>
    <row r="32">
      <c r="A32" s="2" t="inlineStr">
        <is>
          <t>or its heading row did not come across. Re-paste it including row 1.</t>
        </is>
      </c>
    </row>
    <row r="33">
      <c r="A33" s="2" t="inlineStr"/>
    </row>
    <row r="34">
      <c r="A34" s="2" t="inlineStr">
        <is>
          <t>'YES - check name' means we matched the person by name but not by email.</t>
        </is>
      </c>
    </row>
    <row r="35">
      <c r="A35" s="2" t="inlineStr">
        <is>
          <t>That is normal for a gift ticket, where the buyer and the participant are</t>
        </is>
      </c>
    </row>
    <row r="36">
      <c r="A36" s="2" t="inlineStr">
        <is>
          <t>different people. Glance at those rows, then treat them as signed.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19F3F"/>
    <outlinePr summaryBelow="1" summaryRight="1"/>
    <pageSetUpPr fitToPage="1"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15" customWidth="1" min="4" max="4"/>
    <col width="30" customWidth="1" min="5" max="5"/>
    <col width="8" customWidth="1" min="6" max="6"/>
    <col width="26" customWidth="1" min="7" max="7"/>
    <col hidden="1" width="6" customWidth="1" min="8" max="8"/>
  </cols>
  <sheetData>
    <row r="1" ht="24" customHeight="1">
      <c r="A1" s="8" t="inlineStr">
        <is>
          <t>Name</t>
        </is>
      </c>
      <c r="B1" s="8" t="inlineStr">
        <is>
          <t>Email</t>
        </is>
      </c>
      <c r="C1" s="8" t="inlineStr">
        <is>
          <t>Waiver</t>
        </is>
      </c>
      <c r="D1" s="8" t="inlineStr">
        <is>
          <t>No photos</t>
        </is>
      </c>
      <c r="E1" s="8" t="inlineStr">
        <is>
          <t>Emergency contact</t>
        </is>
      </c>
      <c r="F1" s="8" t="inlineStr">
        <is>
          <t>Here</t>
        </is>
      </c>
      <c r="G1" s="8" t="inlineStr">
        <is>
          <t>Notes</t>
        </is>
      </c>
      <c r="H1" s="8" t="inlineStr">
        <is>
          <t>ref</t>
        </is>
      </c>
    </row>
    <row r="2" ht="22" customHeight="1">
      <c r="A2" s="9" t="n"/>
      <c r="B2" s="9" t="n"/>
      <c r="C2" s="9">
        <f>IF($A2="","",IFERROR(IF($H2="","NOT SIGNED",IF($H2&gt;0,"YES","YES - check name")),"check headings"))</f>
        <v/>
      </c>
      <c r="D2" s="9">
        <f>IF(OR($A2="",$H2=""),"",IFERROR(IF(INDEX(Waivers!$A:$Z,ABS($H2),MATCH("*hotograph*",Waivers!$1:$1,0))&lt;&gt;"","DO NOT PHOTO",""),""))</f>
        <v/>
      </c>
      <c r="E2" s="9">
        <f>IF(OR($A2="",$H2=""),"",IFERROR(INDEX(Waivers!$A:$Z,ABS($H2),MATCH("*Emergency Contact Name*",Waivers!$1:$1,0))&amp;"  "&amp;INDEX(Waivers!$A:$Z,ABS($H2),MATCH("*Emergency Contact Phone*",Waivers!$1:$1,0)),""))</f>
        <v/>
      </c>
      <c r="F2" s="10" t="n"/>
      <c r="G2" s="9" t="n"/>
      <c r="H2">
        <f>IF($A2="","",IFERROR(MATCH(TRIM($B2),INDEX(Waivers!$A:$Z,0,MATCH("*Email*",Waivers!$1:$1,0)),0),IFERROR(-MATCH(TRIM($A2),INDEX(Waivers!$A:$Z,0,MATCH("*Participant Name*",Waivers!$1:$1,0)),0),"")))</f>
        <v/>
      </c>
    </row>
    <row r="3" ht="22" customHeight="1">
      <c r="A3" s="9" t="n"/>
      <c r="B3" s="9" t="n"/>
      <c r="C3" s="9">
        <f>IF($A3="","",IFERROR(IF($H3="","NOT SIGNED",IF($H3&gt;0,"YES","YES - check name")),"check headings"))</f>
        <v/>
      </c>
      <c r="D3" s="9">
        <f>IF(OR($A3="",$H3=""),"",IFERROR(IF(INDEX(Waivers!$A:$Z,ABS($H3),MATCH("*hotograph*",Waivers!$1:$1,0))&lt;&gt;"","DO NOT PHOTO",""),""))</f>
        <v/>
      </c>
      <c r="E3" s="9">
        <f>IF(OR($A3="",$H3=""),"",IFERROR(INDEX(Waivers!$A:$Z,ABS($H3),MATCH("*Emergency Contact Name*",Waivers!$1:$1,0))&amp;"  "&amp;INDEX(Waivers!$A:$Z,ABS($H3),MATCH("*Emergency Contact Phone*",Waivers!$1:$1,0)),""))</f>
        <v/>
      </c>
      <c r="F3" s="10" t="n"/>
      <c r="G3" s="9" t="n"/>
      <c r="H3">
        <f>IF($A3="","",IFERROR(MATCH(TRIM($B3),INDEX(Waivers!$A:$Z,0,MATCH("*Email*",Waivers!$1:$1,0)),0),IFERROR(-MATCH(TRIM($A3),INDEX(Waivers!$A:$Z,0,MATCH("*Participant Name*",Waivers!$1:$1,0)),0),"")))</f>
        <v/>
      </c>
    </row>
    <row r="4" ht="22" customHeight="1">
      <c r="A4" s="9" t="n"/>
      <c r="B4" s="9" t="n"/>
      <c r="C4" s="9">
        <f>IF($A4="","",IFERROR(IF($H4="","NOT SIGNED",IF($H4&gt;0,"YES","YES - check name")),"check headings"))</f>
        <v/>
      </c>
      <c r="D4" s="9">
        <f>IF(OR($A4="",$H4=""),"",IFERROR(IF(INDEX(Waivers!$A:$Z,ABS($H4),MATCH("*hotograph*",Waivers!$1:$1,0))&lt;&gt;"","DO NOT PHOTO",""),""))</f>
        <v/>
      </c>
      <c r="E4" s="9">
        <f>IF(OR($A4="",$H4=""),"",IFERROR(INDEX(Waivers!$A:$Z,ABS($H4),MATCH("*Emergency Contact Name*",Waivers!$1:$1,0))&amp;"  "&amp;INDEX(Waivers!$A:$Z,ABS($H4),MATCH("*Emergency Contact Phone*",Waivers!$1:$1,0)),""))</f>
        <v/>
      </c>
      <c r="F4" s="10" t="n"/>
      <c r="G4" s="9" t="n"/>
      <c r="H4">
        <f>IF($A4="","",IFERROR(MATCH(TRIM($B4),INDEX(Waivers!$A:$Z,0,MATCH("*Email*",Waivers!$1:$1,0)),0),IFERROR(-MATCH(TRIM($A4),INDEX(Waivers!$A:$Z,0,MATCH("*Participant Name*",Waivers!$1:$1,0)),0),"")))</f>
        <v/>
      </c>
    </row>
    <row r="5" ht="22" customHeight="1">
      <c r="A5" s="9" t="n"/>
      <c r="B5" s="9" t="n"/>
      <c r="C5" s="9">
        <f>IF($A5="","",IFERROR(IF($H5="","NOT SIGNED",IF($H5&gt;0,"YES","YES - check name")),"check headings"))</f>
        <v/>
      </c>
      <c r="D5" s="9">
        <f>IF(OR($A5="",$H5=""),"",IFERROR(IF(INDEX(Waivers!$A:$Z,ABS($H5),MATCH("*hotograph*",Waivers!$1:$1,0))&lt;&gt;"","DO NOT PHOTO",""),""))</f>
        <v/>
      </c>
      <c r="E5" s="9">
        <f>IF(OR($A5="",$H5=""),"",IFERROR(INDEX(Waivers!$A:$Z,ABS($H5),MATCH("*Emergency Contact Name*",Waivers!$1:$1,0))&amp;"  "&amp;INDEX(Waivers!$A:$Z,ABS($H5),MATCH("*Emergency Contact Phone*",Waivers!$1:$1,0)),""))</f>
        <v/>
      </c>
      <c r="F5" s="10" t="n"/>
      <c r="G5" s="9" t="n"/>
      <c r="H5">
        <f>IF($A5="","",IFERROR(MATCH(TRIM($B5),INDEX(Waivers!$A:$Z,0,MATCH("*Email*",Waivers!$1:$1,0)),0),IFERROR(-MATCH(TRIM($A5),INDEX(Waivers!$A:$Z,0,MATCH("*Participant Name*",Waivers!$1:$1,0)),0),"")))</f>
        <v/>
      </c>
    </row>
    <row r="6" ht="22" customHeight="1">
      <c r="A6" s="9" t="n"/>
      <c r="B6" s="9" t="n"/>
      <c r="C6" s="9">
        <f>IF($A6="","",IFERROR(IF($H6="","NOT SIGNED",IF($H6&gt;0,"YES","YES - check name")),"check headings"))</f>
        <v/>
      </c>
      <c r="D6" s="9">
        <f>IF(OR($A6="",$H6=""),"",IFERROR(IF(INDEX(Waivers!$A:$Z,ABS($H6),MATCH("*hotograph*",Waivers!$1:$1,0))&lt;&gt;"","DO NOT PHOTO",""),""))</f>
        <v/>
      </c>
      <c r="E6" s="9">
        <f>IF(OR($A6="",$H6=""),"",IFERROR(INDEX(Waivers!$A:$Z,ABS($H6),MATCH("*Emergency Contact Name*",Waivers!$1:$1,0))&amp;"  "&amp;INDEX(Waivers!$A:$Z,ABS($H6),MATCH("*Emergency Contact Phone*",Waivers!$1:$1,0)),""))</f>
        <v/>
      </c>
      <c r="F6" s="10" t="n"/>
      <c r="G6" s="9" t="n"/>
      <c r="H6">
        <f>IF($A6="","",IFERROR(MATCH(TRIM($B6),INDEX(Waivers!$A:$Z,0,MATCH("*Email*",Waivers!$1:$1,0)),0),IFERROR(-MATCH(TRIM($A6),INDEX(Waivers!$A:$Z,0,MATCH("*Participant Name*",Waivers!$1:$1,0)),0),"")))</f>
        <v/>
      </c>
    </row>
    <row r="7" ht="22" customHeight="1">
      <c r="A7" s="9" t="n"/>
      <c r="B7" s="9" t="n"/>
      <c r="C7" s="9">
        <f>IF($A7="","",IFERROR(IF($H7="","NOT SIGNED",IF($H7&gt;0,"YES","YES - check name")),"check headings"))</f>
        <v/>
      </c>
      <c r="D7" s="9">
        <f>IF(OR($A7="",$H7=""),"",IFERROR(IF(INDEX(Waivers!$A:$Z,ABS($H7),MATCH("*hotograph*",Waivers!$1:$1,0))&lt;&gt;"","DO NOT PHOTO",""),""))</f>
        <v/>
      </c>
      <c r="E7" s="9">
        <f>IF(OR($A7="",$H7=""),"",IFERROR(INDEX(Waivers!$A:$Z,ABS($H7),MATCH("*Emergency Contact Name*",Waivers!$1:$1,0))&amp;"  "&amp;INDEX(Waivers!$A:$Z,ABS($H7),MATCH("*Emergency Contact Phone*",Waivers!$1:$1,0)),""))</f>
        <v/>
      </c>
      <c r="F7" s="10" t="n"/>
      <c r="G7" s="9" t="n"/>
      <c r="H7">
        <f>IF($A7="","",IFERROR(MATCH(TRIM($B7),INDEX(Waivers!$A:$Z,0,MATCH("*Email*",Waivers!$1:$1,0)),0),IFERROR(-MATCH(TRIM($A7),INDEX(Waivers!$A:$Z,0,MATCH("*Participant Name*",Waivers!$1:$1,0)),0),"")))</f>
        <v/>
      </c>
    </row>
    <row r="8" ht="22" customHeight="1">
      <c r="A8" s="9" t="n"/>
      <c r="B8" s="9" t="n"/>
      <c r="C8" s="9">
        <f>IF($A8="","",IFERROR(IF($H8="","NOT SIGNED",IF($H8&gt;0,"YES","YES - check name")),"check headings"))</f>
        <v/>
      </c>
      <c r="D8" s="9">
        <f>IF(OR($A8="",$H8=""),"",IFERROR(IF(INDEX(Waivers!$A:$Z,ABS($H8),MATCH("*hotograph*",Waivers!$1:$1,0))&lt;&gt;"","DO NOT PHOTO",""),""))</f>
        <v/>
      </c>
      <c r="E8" s="9">
        <f>IF(OR($A8="",$H8=""),"",IFERROR(INDEX(Waivers!$A:$Z,ABS($H8),MATCH("*Emergency Contact Name*",Waivers!$1:$1,0))&amp;"  "&amp;INDEX(Waivers!$A:$Z,ABS($H8),MATCH("*Emergency Contact Phone*",Waivers!$1:$1,0)),""))</f>
        <v/>
      </c>
      <c r="F8" s="10" t="n"/>
      <c r="G8" s="9" t="n"/>
      <c r="H8">
        <f>IF($A8="","",IFERROR(MATCH(TRIM($B8),INDEX(Waivers!$A:$Z,0,MATCH("*Email*",Waivers!$1:$1,0)),0),IFERROR(-MATCH(TRIM($A8),INDEX(Waivers!$A:$Z,0,MATCH("*Participant Name*",Waivers!$1:$1,0)),0),"")))</f>
        <v/>
      </c>
    </row>
    <row r="9" ht="22" customHeight="1">
      <c r="A9" s="9" t="n"/>
      <c r="B9" s="9" t="n"/>
      <c r="C9" s="9">
        <f>IF($A9="","",IFERROR(IF($H9="","NOT SIGNED",IF($H9&gt;0,"YES","YES - check name")),"check headings"))</f>
        <v/>
      </c>
      <c r="D9" s="9">
        <f>IF(OR($A9="",$H9=""),"",IFERROR(IF(INDEX(Waivers!$A:$Z,ABS($H9),MATCH("*hotograph*",Waivers!$1:$1,0))&lt;&gt;"","DO NOT PHOTO",""),""))</f>
        <v/>
      </c>
      <c r="E9" s="9">
        <f>IF(OR($A9="",$H9=""),"",IFERROR(INDEX(Waivers!$A:$Z,ABS($H9),MATCH("*Emergency Contact Name*",Waivers!$1:$1,0))&amp;"  "&amp;INDEX(Waivers!$A:$Z,ABS($H9),MATCH("*Emergency Contact Phone*",Waivers!$1:$1,0)),""))</f>
        <v/>
      </c>
      <c r="F9" s="10" t="n"/>
      <c r="G9" s="9" t="n"/>
      <c r="H9">
        <f>IF($A9="","",IFERROR(MATCH(TRIM($B9),INDEX(Waivers!$A:$Z,0,MATCH("*Email*",Waivers!$1:$1,0)),0),IFERROR(-MATCH(TRIM($A9),INDEX(Waivers!$A:$Z,0,MATCH("*Participant Name*",Waivers!$1:$1,0)),0),"")))</f>
        <v/>
      </c>
    </row>
    <row r="10" ht="22" customHeight="1">
      <c r="A10" s="9" t="n"/>
      <c r="B10" s="9" t="n"/>
      <c r="C10" s="9">
        <f>IF($A10="","",IFERROR(IF($H10="","NOT SIGNED",IF($H10&gt;0,"YES","YES - check name")),"check headings"))</f>
        <v/>
      </c>
      <c r="D10" s="9">
        <f>IF(OR($A10="",$H10=""),"",IFERROR(IF(INDEX(Waivers!$A:$Z,ABS($H10),MATCH("*hotograph*",Waivers!$1:$1,0))&lt;&gt;"","DO NOT PHOTO",""),""))</f>
        <v/>
      </c>
      <c r="E10" s="9">
        <f>IF(OR($A10="",$H10=""),"",IFERROR(INDEX(Waivers!$A:$Z,ABS($H10),MATCH("*Emergency Contact Name*",Waivers!$1:$1,0))&amp;"  "&amp;INDEX(Waivers!$A:$Z,ABS($H10),MATCH("*Emergency Contact Phone*",Waivers!$1:$1,0)),""))</f>
        <v/>
      </c>
      <c r="F10" s="10" t="n"/>
      <c r="G10" s="9" t="n"/>
      <c r="H10">
        <f>IF($A10="","",IFERROR(MATCH(TRIM($B10),INDEX(Waivers!$A:$Z,0,MATCH("*Email*",Waivers!$1:$1,0)),0),IFERROR(-MATCH(TRIM($A10),INDEX(Waivers!$A:$Z,0,MATCH("*Participant Name*",Waivers!$1:$1,0)),0),"")))</f>
        <v/>
      </c>
    </row>
    <row r="11" ht="22" customHeight="1">
      <c r="A11" s="9" t="n"/>
      <c r="B11" s="9" t="n"/>
      <c r="C11" s="9">
        <f>IF($A11="","",IFERROR(IF($H11="","NOT SIGNED",IF($H11&gt;0,"YES","YES - check name")),"check headings"))</f>
        <v/>
      </c>
      <c r="D11" s="9">
        <f>IF(OR($A11="",$H11=""),"",IFERROR(IF(INDEX(Waivers!$A:$Z,ABS($H11),MATCH("*hotograph*",Waivers!$1:$1,0))&lt;&gt;"","DO NOT PHOTO",""),""))</f>
        <v/>
      </c>
      <c r="E11" s="9">
        <f>IF(OR($A11="",$H11=""),"",IFERROR(INDEX(Waivers!$A:$Z,ABS($H11),MATCH("*Emergency Contact Name*",Waivers!$1:$1,0))&amp;"  "&amp;INDEX(Waivers!$A:$Z,ABS($H11),MATCH("*Emergency Contact Phone*",Waivers!$1:$1,0)),""))</f>
        <v/>
      </c>
      <c r="F11" s="10" t="n"/>
      <c r="G11" s="9" t="n"/>
      <c r="H11">
        <f>IF($A11="","",IFERROR(MATCH(TRIM($B11),INDEX(Waivers!$A:$Z,0,MATCH("*Email*",Waivers!$1:$1,0)),0),IFERROR(-MATCH(TRIM($A11),INDEX(Waivers!$A:$Z,0,MATCH("*Participant Name*",Waivers!$1:$1,0)),0),"")))</f>
        <v/>
      </c>
    </row>
    <row r="12" ht="22" customHeight="1">
      <c r="A12" s="9" t="n"/>
      <c r="B12" s="9" t="n"/>
      <c r="C12" s="9">
        <f>IF($A12="","",IFERROR(IF($H12="","NOT SIGNED",IF($H12&gt;0,"YES","YES - check name")),"check headings"))</f>
        <v/>
      </c>
      <c r="D12" s="9">
        <f>IF(OR($A12="",$H12=""),"",IFERROR(IF(INDEX(Waivers!$A:$Z,ABS($H12),MATCH("*hotograph*",Waivers!$1:$1,0))&lt;&gt;"","DO NOT PHOTO",""),""))</f>
        <v/>
      </c>
      <c r="E12" s="9">
        <f>IF(OR($A12="",$H12=""),"",IFERROR(INDEX(Waivers!$A:$Z,ABS($H12),MATCH("*Emergency Contact Name*",Waivers!$1:$1,0))&amp;"  "&amp;INDEX(Waivers!$A:$Z,ABS($H12),MATCH("*Emergency Contact Phone*",Waivers!$1:$1,0)),""))</f>
        <v/>
      </c>
      <c r="F12" s="10" t="n"/>
      <c r="G12" s="9" t="n"/>
      <c r="H12">
        <f>IF($A12="","",IFERROR(MATCH(TRIM($B12),INDEX(Waivers!$A:$Z,0,MATCH("*Email*",Waivers!$1:$1,0)),0),IFERROR(-MATCH(TRIM($A12),INDEX(Waivers!$A:$Z,0,MATCH("*Participant Name*",Waivers!$1:$1,0)),0),"")))</f>
        <v/>
      </c>
    </row>
    <row r="13" ht="22" customHeight="1">
      <c r="A13" s="9" t="n"/>
      <c r="B13" s="9" t="n"/>
      <c r="C13" s="9">
        <f>IF($A13="","",IFERROR(IF($H13="","NOT SIGNED",IF($H13&gt;0,"YES","YES - check name")),"check headings"))</f>
        <v/>
      </c>
      <c r="D13" s="9">
        <f>IF(OR($A13="",$H13=""),"",IFERROR(IF(INDEX(Waivers!$A:$Z,ABS($H13),MATCH("*hotograph*",Waivers!$1:$1,0))&lt;&gt;"","DO NOT PHOTO",""),""))</f>
        <v/>
      </c>
      <c r="E13" s="9">
        <f>IF(OR($A13="",$H13=""),"",IFERROR(INDEX(Waivers!$A:$Z,ABS($H13),MATCH("*Emergency Contact Name*",Waivers!$1:$1,0))&amp;"  "&amp;INDEX(Waivers!$A:$Z,ABS($H13),MATCH("*Emergency Contact Phone*",Waivers!$1:$1,0)),""))</f>
        <v/>
      </c>
      <c r="F13" s="10" t="n"/>
      <c r="G13" s="9" t="n"/>
      <c r="H13">
        <f>IF($A13="","",IFERROR(MATCH(TRIM($B13),INDEX(Waivers!$A:$Z,0,MATCH("*Email*",Waivers!$1:$1,0)),0),IFERROR(-MATCH(TRIM($A13),INDEX(Waivers!$A:$Z,0,MATCH("*Participant Name*",Waivers!$1:$1,0)),0),"")))</f>
        <v/>
      </c>
    </row>
    <row r="14" ht="22" customHeight="1">
      <c r="A14" s="9" t="n"/>
      <c r="B14" s="9" t="n"/>
      <c r="C14" s="9">
        <f>IF($A14="","",IFERROR(IF($H14="","NOT SIGNED",IF($H14&gt;0,"YES","YES - check name")),"check headings"))</f>
        <v/>
      </c>
      <c r="D14" s="9">
        <f>IF(OR($A14="",$H14=""),"",IFERROR(IF(INDEX(Waivers!$A:$Z,ABS($H14),MATCH("*hotograph*",Waivers!$1:$1,0))&lt;&gt;"","DO NOT PHOTO",""),""))</f>
        <v/>
      </c>
      <c r="E14" s="9">
        <f>IF(OR($A14="",$H14=""),"",IFERROR(INDEX(Waivers!$A:$Z,ABS($H14),MATCH("*Emergency Contact Name*",Waivers!$1:$1,0))&amp;"  "&amp;INDEX(Waivers!$A:$Z,ABS($H14),MATCH("*Emergency Contact Phone*",Waivers!$1:$1,0)),""))</f>
        <v/>
      </c>
      <c r="F14" s="10" t="n"/>
      <c r="G14" s="9" t="n"/>
      <c r="H14">
        <f>IF($A14="","",IFERROR(MATCH(TRIM($B14),INDEX(Waivers!$A:$Z,0,MATCH("*Email*",Waivers!$1:$1,0)),0),IFERROR(-MATCH(TRIM($A14),INDEX(Waivers!$A:$Z,0,MATCH("*Participant Name*",Waivers!$1:$1,0)),0),"")))</f>
        <v/>
      </c>
    </row>
    <row r="15" ht="22" customHeight="1">
      <c r="A15" s="9" t="n"/>
      <c r="B15" s="9" t="n"/>
      <c r="C15" s="9">
        <f>IF($A15="","",IFERROR(IF($H15="","NOT SIGNED",IF($H15&gt;0,"YES","YES - check name")),"check headings"))</f>
        <v/>
      </c>
      <c r="D15" s="9">
        <f>IF(OR($A15="",$H15=""),"",IFERROR(IF(INDEX(Waivers!$A:$Z,ABS($H15),MATCH("*hotograph*",Waivers!$1:$1,0))&lt;&gt;"","DO NOT PHOTO",""),""))</f>
        <v/>
      </c>
      <c r="E15" s="9">
        <f>IF(OR($A15="",$H15=""),"",IFERROR(INDEX(Waivers!$A:$Z,ABS($H15),MATCH("*Emergency Contact Name*",Waivers!$1:$1,0))&amp;"  "&amp;INDEX(Waivers!$A:$Z,ABS($H15),MATCH("*Emergency Contact Phone*",Waivers!$1:$1,0)),""))</f>
        <v/>
      </c>
      <c r="F15" s="10" t="n"/>
      <c r="G15" s="9" t="n"/>
      <c r="H15">
        <f>IF($A15="","",IFERROR(MATCH(TRIM($B15),INDEX(Waivers!$A:$Z,0,MATCH("*Email*",Waivers!$1:$1,0)),0),IFERROR(-MATCH(TRIM($A15),INDEX(Waivers!$A:$Z,0,MATCH("*Participant Name*",Waivers!$1:$1,0)),0),"")))</f>
        <v/>
      </c>
    </row>
    <row r="16" ht="22" customHeight="1">
      <c r="A16" s="9" t="n"/>
      <c r="B16" s="9" t="n"/>
      <c r="C16" s="9">
        <f>IF($A16="","",IFERROR(IF($H16="","NOT SIGNED",IF($H16&gt;0,"YES","YES - check name")),"check headings"))</f>
        <v/>
      </c>
      <c r="D16" s="9">
        <f>IF(OR($A16="",$H16=""),"",IFERROR(IF(INDEX(Waivers!$A:$Z,ABS($H16),MATCH("*hotograph*",Waivers!$1:$1,0))&lt;&gt;"","DO NOT PHOTO",""),""))</f>
        <v/>
      </c>
      <c r="E16" s="9">
        <f>IF(OR($A16="",$H16=""),"",IFERROR(INDEX(Waivers!$A:$Z,ABS($H16),MATCH("*Emergency Contact Name*",Waivers!$1:$1,0))&amp;"  "&amp;INDEX(Waivers!$A:$Z,ABS($H16),MATCH("*Emergency Contact Phone*",Waivers!$1:$1,0)),""))</f>
        <v/>
      </c>
      <c r="F16" s="10" t="n"/>
      <c r="G16" s="9" t="n"/>
      <c r="H16">
        <f>IF($A16="","",IFERROR(MATCH(TRIM($B16),INDEX(Waivers!$A:$Z,0,MATCH("*Email*",Waivers!$1:$1,0)),0),IFERROR(-MATCH(TRIM($A16),INDEX(Waivers!$A:$Z,0,MATCH("*Participant Name*",Waivers!$1:$1,0)),0),"")))</f>
        <v/>
      </c>
    </row>
    <row r="17" ht="22" customHeight="1">
      <c r="A17" s="9" t="n"/>
      <c r="B17" s="9" t="n"/>
      <c r="C17" s="9">
        <f>IF($A17="","",IFERROR(IF($H17="","NOT SIGNED",IF($H17&gt;0,"YES","YES - check name")),"check headings"))</f>
        <v/>
      </c>
      <c r="D17" s="9">
        <f>IF(OR($A17="",$H17=""),"",IFERROR(IF(INDEX(Waivers!$A:$Z,ABS($H17),MATCH("*hotograph*",Waivers!$1:$1,0))&lt;&gt;"","DO NOT PHOTO",""),""))</f>
        <v/>
      </c>
      <c r="E17" s="9">
        <f>IF(OR($A17="",$H17=""),"",IFERROR(INDEX(Waivers!$A:$Z,ABS($H17),MATCH("*Emergency Contact Name*",Waivers!$1:$1,0))&amp;"  "&amp;INDEX(Waivers!$A:$Z,ABS($H17),MATCH("*Emergency Contact Phone*",Waivers!$1:$1,0)),""))</f>
        <v/>
      </c>
      <c r="F17" s="10" t="n"/>
      <c r="G17" s="9" t="n"/>
      <c r="H17">
        <f>IF($A17="","",IFERROR(MATCH(TRIM($B17),INDEX(Waivers!$A:$Z,0,MATCH("*Email*",Waivers!$1:$1,0)),0),IFERROR(-MATCH(TRIM($A17),INDEX(Waivers!$A:$Z,0,MATCH("*Participant Name*",Waivers!$1:$1,0)),0),"")))</f>
        <v/>
      </c>
    </row>
    <row r="18" ht="22" customHeight="1">
      <c r="A18" s="9" t="n"/>
      <c r="B18" s="9" t="n"/>
      <c r="C18" s="9">
        <f>IF($A18="","",IFERROR(IF($H18="","NOT SIGNED",IF($H18&gt;0,"YES","YES - check name")),"check headings"))</f>
        <v/>
      </c>
      <c r="D18" s="9">
        <f>IF(OR($A18="",$H18=""),"",IFERROR(IF(INDEX(Waivers!$A:$Z,ABS($H18),MATCH("*hotograph*",Waivers!$1:$1,0))&lt;&gt;"","DO NOT PHOTO",""),""))</f>
        <v/>
      </c>
      <c r="E18" s="9">
        <f>IF(OR($A18="",$H18=""),"",IFERROR(INDEX(Waivers!$A:$Z,ABS($H18),MATCH("*Emergency Contact Name*",Waivers!$1:$1,0))&amp;"  "&amp;INDEX(Waivers!$A:$Z,ABS($H18),MATCH("*Emergency Contact Phone*",Waivers!$1:$1,0)),""))</f>
        <v/>
      </c>
      <c r="F18" s="10" t="n"/>
      <c r="G18" s="9" t="n"/>
      <c r="H18">
        <f>IF($A18="","",IFERROR(MATCH(TRIM($B18),INDEX(Waivers!$A:$Z,0,MATCH("*Email*",Waivers!$1:$1,0)),0),IFERROR(-MATCH(TRIM($A18),INDEX(Waivers!$A:$Z,0,MATCH("*Participant Name*",Waivers!$1:$1,0)),0),"")))</f>
        <v/>
      </c>
    </row>
    <row r="19" ht="22" customHeight="1">
      <c r="A19" s="9" t="n"/>
      <c r="B19" s="9" t="n"/>
      <c r="C19" s="9">
        <f>IF($A19="","",IFERROR(IF($H19="","NOT SIGNED",IF($H19&gt;0,"YES","YES - check name")),"check headings"))</f>
        <v/>
      </c>
      <c r="D19" s="9">
        <f>IF(OR($A19="",$H19=""),"",IFERROR(IF(INDEX(Waivers!$A:$Z,ABS($H19),MATCH("*hotograph*",Waivers!$1:$1,0))&lt;&gt;"","DO NOT PHOTO",""),""))</f>
        <v/>
      </c>
      <c r="E19" s="9">
        <f>IF(OR($A19="",$H19=""),"",IFERROR(INDEX(Waivers!$A:$Z,ABS($H19),MATCH("*Emergency Contact Name*",Waivers!$1:$1,0))&amp;"  "&amp;INDEX(Waivers!$A:$Z,ABS($H19),MATCH("*Emergency Contact Phone*",Waivers!$1:$1,0)),""))</f>
        <v/>
      </c>
      <c r="F19" s="10" t="n"/>
      <c r="G19" s="9" t="n"/>
      <c r="H19">
        <f>IF($A19="","",IFERROR(MATCH(TRIM($B19),INDEX(Waivers!$A:$Z,0,MATCH("*Email*",Waivers!$1:$1,0)),0),IFERROR(-MATCH(TRIM($A19),INDEX(Waivers!$A:$Z,0,MATCH("*Participant Name*",Waivers!$1:$1,0)),0),"")))</f>
        <v/>
      </c>
    </row>
    <row r="20" ht="22" customHeight="1">
      <c r="A20" s="9" t="n"/>
      <c r="B20" s="9" t="n"/>
      <c r="C20" s="9">
        <f>IF($A20="","",IFERROR(IF($H20="","NOT SIGNED",IF($H20&gt;0,"YES","YES - check name")),"check headings"))</f>
        <v/>
      </c>
      <c r="D20" s="9">
        <f>IF(OR($A20="",$H20=""),"",IFERROR(IF(INDEX(Waivers!$A:$Z,ABS($H20),MATCH("*hotograph*",Waivers!$1:$1,0))&lt;&gt;"","DO NOT PHOTO",""),""))</f>
        <v/>
      </c>
      <c r="E20" s="9">
        <f>IF(OR($A20="",$H20=""),"",IFERROR(INDEX(Waivers!$A:$Z,ABS($H20),MATCH("*Emergency Contact Name*",Waivers!$1:$1,0))&amp;"  "&amp;INDEX(Waivers!$A:$Z,ABS($H20),MATCH("*Emergency Contact Phone*",Waivers!$1:$1,0)),""))</f>
        <v/>
      </c>
      <c r="F20" s="10" t="n"/>
      <c r="G20" s="9" t="n"/>
      <c r="H20">
        <f>IF($A20="","",IFERROR(MATCH(TRIM($B20),INDEX(Waivers!$A:$Z,0,MATCH("*Email*",Waivers!$1:$1,0)),0),IFERROR(-MATCH(TRIM($A20),INDEX(Waivers!$A:$Z,0,MATCH("*Participant Name*",Waivers!$1:$1,0)),0),"")))</f>
        <v/>
      </c>
    </row>
    <row r="21" ht="22" customHeight="1">
      <c r="A21" s="9" t="n"/>
      <c r="B21" s="9" t="n"/>
      <c r="C21" s="9">
        <f>IF($A21="","",IFERROR(IF($H21="","NOT SIGNED",IF($H21&gt;0,"YES","YES - check name")),"check headings"))</f>
        <v/>
      </c>
      <c r="D21" s="9">
        <f>IF(OR($A21="",$H21=""),"",IFERROR(IF(INDEX(Waivers!$A:$Z,ABS($H21),MATCH("*hotograph*",Waivers!$1:$1,0))&lt;&gt;"","DO NOT PHOTO",""),""))</f>
        <v/>
      </c>
      <c r="E21" s="9">
        <f>IF(OR($A21="",$H21=""),"",IFERROR(INDEX(Waivers!$A:$Z,ABS($H21),MATCH("*Emergency Contact Name*",Waivers!$1:$1,0))&amp;"  "&amp;INDEX(Waivers!$A:$Z,ABS($H21),MATCH("*Emergency Contact Phone*",Waivers!$1:$1,0)),""))</f>
        <v/>
      </c>
      <c r="F21" s="10" t="n"/>
      <c r="G21" s="9" t="n"/>
      <c r="H21">
        <f>IF($A21="","",IFERROR(MATCH(TRIM($B21),INDEX(Waivers!$A:$Z,0,MATCH("*Email*",Waivers!$1:$1,0)),0),IFERROR(-MATCH(TRIM($A21),INDEX(Waivers!$A:$Z,0,MATCH("*Participant Name*",Waivers!$1:$1,0)),0),"")))</f>
        <v/>
      </c>
    </row>
    <row r="22" ht="22" customHeight="1">
      <c r="A22" s="9" t="n"/>
      <c r="B22" s="9" t="n"/>
      <c r="C22" s="9">
        <f>IF($A22="","",IFERROR(IF($H22="","NOT SIGNED",IF($H22&gt;0,"YES","YES - check name")),"check headings"))</f>
        <v/>
      </c>
      <c r="D22" s="9">
        <f>IF(OR($A22="",$H22=""),"",IFERROR(IF(INDEX(Waivers!$A:$Z,ABS($H22),MATCH("*hotograph*",Waivers!$1:$1,0))&lt;&gt;"","DO NOT PHOTO",""),""))</f>
        <v/>
      </c>
      <c r="E22" s="9">
        <f>IF(OR($A22="",$H22=""),"",IFERROR(INDEX(Waivers!$A:$Z,ABS($H22),MATCH("*Emergency Contact Name*",Waivers!$1:$1,0))&amp;"  "&amp;INDEX(Waivers!$A:$Z,ABS($H22),MATCH("*Emergency Contact Phone*",Waivers!$1:$1,0)),""))</f>
        <v/>
      </c>
      <c r="F22" s="10" t="n"/>
      <c r="G22" s="9" t="n"/>
      <c r="H22">
        <f>IF($A22="","",IFERROR(MATCH(TRIM($B22),INDEX(Waivers!$A:$Z,0,MATCH("*Email*",Waivers!$1:$1,0)),0),IFERROR(-MATCH(TRIM($A22),INDEX(Waivers!$A:$Z,0,MATCH("*Participant Name*",Waivers!$1:$1,0)),0),"")))</f>
        <v/>
      </c>
    </row>
    <row r="23" ht="22" customHeight="1">
      <c r="A23" s="9" t="n"/>
      <c r="B23" s="9" t="n"/>
      <c r="C23" s="9">
        <f>IF($A23="","",IFERROR(IF($H23="","NOT SIGNED",IF($H23&gt;0,"YES","YES - check name")),"check headings"))</f>
        <v/>
      </c>
      <c r="D23" s="9">
        <f>IF(OR($A23="",$H23=""),"",IFERROR(IF(INDEX(Waivers!$A:$Z,ABS($H23),MATCH("*hotograph*",Waivers!$1:$1,0))&lt;&gt;"","DO NOT PHOTO",""),""))</f>
        <v/>
      </c>
      <c r="E23" s="9">
        <f>IF(OR($A23="",$H23=""),"",IFERROR(INDEX(Waivers!$A:$Z,ABS($H23),MATCH("*Emergency Contact Name*",Waivers!$1:$1,0))&amp;"  "&amp;INDEX(Waivers!$A:$Z,ABS($H23),MATCH("*Emergency Contact Phone*",Waivers!$1:$1,0)),""))</f>
        <v/>
      </c>
      <c r="F23" s="10" t="n"/>
      <c r="G23" s="9" t="n"/>
      <c r="H23">
        <f>IF($A23="","",IFERROR(MATCH(TRIM($B23),INDEX(Waivers!$A:$Z,0,MATCH("*Email*",Waivers!$1:$1,0)),0),IFERROR(-MATCH(TRIM($A23),INDEX(Waivers!$A:$Z,0,MATCH("*Participant Name*",Waivers!$1:$1,0)),0),"")))</f>
        <v/>
      </c>
    </row>
    <row r="24" ht="22" customHeight="1">
      <c r="A24" s="9" t="n"/>
      <c r="B24" s="9" t="n"/>
      <c r="C24" s="9">
        <f>IF($A24="","",IFERROR(IF($H24="","NOT SIGNED",IF($H24&gt;0,"YES","YES - check name")),"check headings"))</f>
        <v/>
      </c>
      <c r="D24" s="9">
        <f>IF(OR($A24="",$H24=""),"",IFERROR(IF(INDEX(Waivers!$A:$Z,ABS($H24),MATCH("*hotograph*",Waivers!$1:$1,0))&lt;&gt;"","DO NOT PHOTO",""),""))</f>
        <v/>
      </c>
      <c r="E24" s="9">
        <f>IF(OR($A24="",$H24=""),"",IFERROR(INDEX(Waivers!$A:$Z,ABS($H24),MATCH("*Emergency Contact Name*",Waivers!$1:$1,0))&amp;"  "&amp;INDEX(Waivers!$A:$Z,ABS($H24),MATCH("*Emergency Contact Phone*",Waivers!$1:$1,0)),""))</f>
        <v/>
      </c>
      <c r="F24" s="10" t="n"/>
      <c r="G24" s="9" t="n"/>
      <c r="H24">
        <f>IF($A24="","",IFERROR(MATCH(TRIM($B24),INDEX(Waivers!$A:$Z,0,MATCH("*Email*",Waivers!$1:$1,0)),0),IFERROR(-MATCH(TRIM($A24),INDEX(Waivers!$A:$Z,0,MATCH("*Participant Name*",Waivers!$1:$1,0)),0),"")))</f>
        <v/>
      </c>
    </row>
    <row r="25" ht="22" customHeight="1">
      <c r="A25" s="9" t="n"/>
      <c r="B25" s="9" t="n"/>
      <c r="C25" s="9">
        <f>IF($A25="","",IFERROR(IF($H25="","NOT SIGNED",IF($H25&gt;0,"YES","YES - check name")),"check headings"))</f>
        <v/>
      </c>
      <c r="D25" s="9">
        <f>IF(OR($A25="",$H25=""),"",IFERROR(IF(INDEX(Waivers!$A:$Z,ABS($H25),MATCH("*hotograph*",Waivers!$1:$1,0))&lt;&gt;"","DO NOT PHOTO",""),""))</f>
        <v/>
      </c>
      <c r="E25" s="9">
        <f>IF(OR($A25="",$H25=""),"",IFERROR(INDEX(Waivers!$A:$Z,ABS($H25),MATCH("*Emergency Contact Name*",Waivers!$1:$1,0))&amp;"  "&amp;INDEX(Waivers!$A:$Z,ABS($H25),MATCH("*Emergency Contact Phone*",Waivers!$1:$1,0)),""))</f>
        <v/>
      </c>
      <c r="F25" s="10" t="n"/>
      <c r="G25" s="9" t="n"/>
      <c r="H25">
        <f>IF($A25="","",IFERROR(MATCH(TRIM($B25),INDEX(Waivers!$A:$Z,0,MATCH("*Email*",Waivers!$1:$1,0)),0),IFERROR(-MATCH(TRIM($A25),INDEX(Waivers!$A:$Z,0,MATCH("*Participant Name*",Waivers!$1:$1,0)),0),"")))</f>
        <v/>
      </c>
    </row>
    <row r="26" ht="22" customHeight="1">
      <c r="A26" s="9" t="n"/>
      <c r="B26" s="9" t="n"/>
      <c r="C26" s="9">
        <f>IF($A26="","",IFERROR(IF($H26="","NOT SIGNED",IF($H26&gt;0,"YES","YES - check name")),"check headings"))</f>
        <v/>
      </c>
      <c r="D26" s="9">
        <f>IF(OR($A26="",$H26=""),"",IFERROR(IF(INDEX(Waivers!$A:$Z,ABS($H26),MATCH("*hotograph*",Waivers!$1:$1,0))&lt;&gt;"","DO NOT PHOTO",""),""))</f>
        <v/>
      </c>
      <c r="E26" s="9">
        <f>IF(OR($A26="",$H26=""),"",IFERROR(INDEX(Waivers!$A:$Z,ABS($H26),MATCH("*Emergency Contact Name*",Waivers!$1:$1,0))&amp;"  "&amp;INDEX(Waivers!$A:$Z,ABS($H26),MATCH("*Emergency Contact Phone*",Waivers!$1:$1,0)),""))</f>
        <v/>
      </c>
      <c r="F26" s="10" t="n"/>
      <c r="G26" s="9" t="n"/>
      <c r="H26">
        <f>IF($A26="","",IFERROR(MATCH(TRIM($B26),INDEX(Waivers!$A:$Z,0,MATCH("*Email*",Waivers!$1:$1,0)),0),IFERROR(-MATCH(TRIM($A26),INDEX(Waivers!$A:$Z,0,MATCH("*Participant Name*",Waivers!$1:$1,0)),0),"")))</f>
        <v/>
      </c>
    </row>
    <row r="27" ht="22" customHeight="1">
      <c r="A27" s="9" t="n"/>
      <c r="B27" s="9" t="n"/>
      <c r="C27" s="9">
        <f>IF($A27="","",IFERROR(IF($H27="","NOT SIGNED",IF($H27&gt;0,"YES","YES - check name")),"check headings"))</f>
        <v/>
      </c>
      <c r="D27" s="9">
        <f>IF(OR($A27="",$H27=""),"",IFERROR(IF(INDEX(Waivers!$A:$Z,ABS($H27),MATCH("*hotograph*",Waivers!$1:$1,0))&lt;&gt;"","DO NOT PHOTO",""),""))</f>
        <v/>
      </c>
      <c r="E27" s="9">
        <f>IF(OR($A27="",$H27=""),"",IFERROR(INDEX(Waivers!$A:$Z,ABS($H27),MATCH("*Emergency Contact Name*",Waivers!$1:$1,0))&amp;"  "&amp;INDEX(Waivers!$A:$Z,ABS($H27),MATCH("*Emergency Contact Phone*",Waivers!$1:$1,0)),""))</f>
        <v/>
      </c>
      <c r="F27" s="10" t="n"/>
      <c r="G27" s="9" t="n"/>
      <c r="H27">
        <f>IF($A27="","",IFERROR(MATCH(TRIM($B27),INDEX(Waivers!$A:$Z,0,MATCH("*Email*",Waivers!$1:$1,0)),0),IFERROR(-MATCH(TRIM($A27),INDEX(Waivers!$A:$Z,0,MATCH("*Participant Name*",Waivers!$1:$1,0)),0),"")))</f>
        <v/>
      </c>
    </row>
    <row r="28" ht="22" customHeight="1">
      <c r="A28" s="9" t="n"/>
      <c r="B28" s="9" t="n"/>
      <c r="C28" s="9">
        <f>IF($A28="","",IFERROR(IF($H28="","NOT SIGNED",IF($H28&gt;0,"YES","YES - check name")),"check headings"))</f>
        <v/>
      </c>
      <c r="D28" s="9">
        <f>IF(OR($A28="",$H28=""),"",IFERROR(IF(INDEX(Waivers!$A:$Z,ABS($H28),MATCH("*hotograph*",Waivers!$1:$1,0))&lt;&gt;"","DO NOT PHOTO",""),""))</f>
        <v/>
      </c>
      <c r="E28" s="9">
        <f>IF(OR($A28="",$H28=""),"",IFERROR(INDEX(Waivers!$A:$Z,ABS($H28),MATCH("*Emergency Contact Name*",Waivers!$1:$1,0))&amp;"  "&amp;INDEX(Waivers!$A:$Z,ABS($H28),MATCH("*Emergency Contact Phone*",Waivers!$1:$1,0)),""))</f>
        <v/>
      </c>
      <c r="F28" s="10" t="n"/>
      <c r="G28" s="9" t="n"/>
      <c r="H28">
        <f>IF($A28="","",IFERROR(MATCH(TRIM($B28),INDEX(Waivers!$A:$Z,0,MATCH("*Email*",Waivers!$1:$1,0)),0),IFERROR(-MATCH(TRIM($A28),INDEX(Waivers!$A:$Z,0,MATCH("*Participant Name*",Waivers!$1:$1,0)),0),"")))</f>
        <v/>
      </c>
    </row>
    <row r="29" ht="22" customHeight="1">
      <c r="A29" s="9" t="n"/>
      <c r="B29" s="9" t="n"/>
      <c r="C29" s="9">
        <f>IF($A29="","",IFERROR(IF($H29="","NOT SIGNED",IF($H29&gt;0,"YES","YES - check name")),"check headings"))</f>
        <v/>
      </c>
      <c r="D29" s="9">
        <f>IF(OR($A29="",$H29=""),"",IFERROR(IF(INDEX(Waivers!$A:$Z,ABS($H29),MATCH("*hotograph*",Waivers!$1:$1,0))&lt;&gt;"","DO NOT PHOTO",""),""))</f>
        <v/>
      </c>
      <c r="E29" s="9">
        <f>IF(OR($A29="",$H29=""),"",IFERROR(INDEX(Waivers!$A:$Z,ABS($H29),MATCH("*Emergency Contact Name*",Waivers!$1:$1,0))&amp;"  "&amp;INDEX(Waivers!$A:$Z,ABS($H29),MATCH("*Emergency Contact Phone*",Waivers!$1:$1,0)),""))</f>
        <v/>
      </c>
      <c r="F29" s="10" t="n"/>
      <c r="G29" s="9" t="n"/>
      <c r="H29">
        <f>IF($A29="","",IFERROR(MATCH(TRIM($B29),INDEX(Waivers!$A:$Z,0,MATCH("*Email*",Waivers!$1:$1,0)),0),IFERROR(-MATCH(TRIM($A29),INDEX(Waivers!$A:$Z,0,MATCH("*Participant Name*",Waivers!$1:$1,0)),0),"")))</f>
        <v/>
      </c>
    </row>
    <row r="30" ht="22" customHeight="1">
      <c r="A30" s="9" t="n"/>
      <c r="B30" s="9" t="n"/>
      <c r="C30" s="9">
        <f>IF($A30="","",IFERROR(IF($H30="","NOT SIGNED",IF($H30&gt;0,"YES","YES - check name")),"check headings"))</f>
        <v/>
      </c>
      <c r="D30" s="9">
        <f>IF(OR($A30="",$H30=""),"",IFERROR(IF(INDEX(Waivers!$A:$Z,ABS($H30),MATCH("*hotograph*",Waivers!$1:$1,0))&lt;&gt;"","DO NOT PHOTO",""),""))</f>
        <v/>
      </c>
      <c r="E30" s="9">
        <f>IF(OR($A30="",$H30=""),"",IFERROR(INDEX(Waivers!$A:$Z,ABS($H30),MATCH("*Emergency Contact Name*",Waivers!$1:$1,0))&amp;"  "&amp;INDEX(Waivers!$A:$Z,ABS($H30),MATCH("*Emergency Contact Phone*",Waivers!$1:$1,0)),""))</f>
        <v/>
      </c>
      <c r="F30" s="10" t="n"/>
      <c r="G30" s="9" t="n"/>
      <c r="H30">
        <f>IF($A30="","",IFERROR(MATCH(TRIM($B30),INDEX(Waivers!$A:$Z,0,MATCH("*Email*",Waivers!$1:$1,0)),0),IFERROR(-MATCH(TRIM($A30),INDEX(Waivers!$A:$Z,0,MATCH("*Participant Name*",Waivers!$1:$1,0)),0),"")))</f>
        <v/>
      </c>
    </row>
    <row r="31" ht="22" customHeight="1">
      <c r="A31" s="9" t="n"/>
      <c r="B31" s="9" t="n"/>
      <c r="C31" s="9">
        <f>IF($A31="","",IFERROR(IF($H31="","NOT SIGNED",IF($H31&gt;0,"YES","YES - check name")),"check headings"))</f>
        <v/>
      </c>
      <c r="D31" s="9">
        <f>IF(OR($A31="",$H31=""),"",IFERROR(IF(INDEX(Waivers!$A:$Z,ABS($H31),MATCH("*hotograph*",Waivers!$1:$1,0))&lt;&gt;"","DO NOT PHOTO",""),""))</f>
        <v/>
      </c>
      <c r="E31" s="9">
        <f>IF(OR($A31="",$H31=""),"",IFERROR(INDEX(Waivers!$A:$Z,ABS($H31),MATCH("*Emergency Contact Name*",Waivers!$1:$1,0))&amp;"  "&amp;INDEX(Waivers!$A:$Z,ABS($H31),MATCH("*Emergency Contact Phone*",Waivers!$1:$1,0)),""))</f>
        <v/>
      </c>
      <c r="F31" s="10" t="n"/>
      <c r="G31" s="9" t="n"/>
      <c r="H31">
        <f>IF($A31="","",IFERROR(MATCH(TRIM($B31),INDEX(Waivers!$A:$Z,0,MATCH("*Email*",Waivers!$1:$1,0)),0),IFERROR(-MATCH(TRIM($A31),INDEX(Waivers!$A:$Z,0,MATCH("*Participant Name*",Waivers!$1:$1,0)),0),"")))</f>
        <v/>
      </c>
    </row>
    <row r="32" ht="22" customHeight="1">
      <c r="A32" s="9" t="n"/>
      <c r="B32" s="9" t="n"/>
      <c r="C32" s="9">
        <f>IF($A32="","",IFERROR(IF($H32="","NOT SIGNED",IF($H32&gt;0,"YES","YES - check name")),"check headings"))</f>
        <v/>
      </c>
      <c r="D32" s="9">
        <f>IF(OR($A32="",$H32=""),"",IFERROR(IF(INDEX(Waivers!$A:$Z,ABS($H32),MATCH("*hotograph*",Waivers!$1:$1,0))&lt;&gt;"","DO NOT PHOTO",""),""))</f>
        <v/>
      </c>
      <c r="E32" s="9">
        <f>IF(OR($A32="",$H32=""),"",IFERROR(INDEX(Waivers!$A:$Z,ABS($H32),MATCH("*Emergency Contact Name*",Waivers!$1:$1,0))&amp;"  "&amp;INDEX(Waivers!$A:$Z,ABS($H32),MATCH("*Emergency Contact Phone*",Waivers!$1:$1,0)),""))</f>
        <v/>
      </c>
      <c r="F32" s="10" t="n"/>
      <c r="G32" s="9" t="n"/>
      <c r="H32">
        <f>IF($A32="","",IFERROR(MATCH(TRIM($B32),INDEX(Waivers!$A:$Z,0,MATCH("*Email*",Waivers!$1:$1,0)),0),IFERROR(-MATCH(TRIM($A32),INDEX(Waivers!$A:$Z,0,MATCH("*Participant Name*",Waivers!$1:$1,0)),0),"")))</f>
        <v/>
      </c>
    </row>
    <row r="33" ht="22" customHeight="1">
      <c r="A33" s="9" t="n"/>
      <c r="B33" s="9" t="n"/>
      <c r="C33" s="9">
        <f>IF($A33="","",IFERROR(IF($H33="","NOT SIGNED",IF($H33&gt;0,"YES","YES - check name")),"check headings"))</f>
        <v/>
      </c>
      <c r="D33" s="9">
        <f>IF(OR($A33="",$H33=""),"",IFERROR(IF(INDEX(Waivers!$A:$Z,ABS($H33),MATCH("*hotograph*",Waivers!$1:$1,0))&lt;&gt;"","DO NOT PHOTO",""),""))</f>
        <v/>
      </c>
      <c r="E33" s="9">
        <f>IF(OR($A33="",$H33=""),"",IFERROR(INDEX(Waivers!$A:$Z,ABS($H33),MATCH("*Emergency Contact Name*",Waivers!$1:$1,0))&amp;"  "&amp;INDEX(Waivers!$A:$Z,ABS($H33),MATCH("*Emergency Contact Phone*",Waivers!$1:$1,0)),""))</f>
        <v/>
      </c>
      <c r="F33" s="10" t="n"/>
      <c r="G33" s="9" t="n"/>
      <c r="H33">
        <f>IF($A33="","",IFERROR(MATCH(TRIM($B33),INDEX(Waivers!$A:$Z,0,MATCH("*Email*",Waivers!$1:$1,0)),0),IFERROR(-MATCH(TRIM($A33),INDEX(Waivers!$A:$Z,0,MATCH("*Participant Name*",Waivers!$1:$1,0)),0),"")))</f>
        <v/>
      </c>
    </row>
    <row r="34" ht="22" customHeight="1">
      <c r="A34" s="9" t="n"/>
      <c r="B34" s="9" t="n"/>
      <c r="C34" s="9">
        <f>IF($A34="","",IFERROR(IF($H34="","NOT SIGNED",IF($H34&gt;0,"YES","YES - check name")),"check headings"))</f>
        <v/>
      </c>
      <c r="D34" s="9">
        <f>IF(OR($A34="",$H34=""),"",IFERROR(IF(INDEX(Waivers!$A:$Z,ABS($H34),MATCH("*hotograph*",Waivers!$1:$1,0))&lt;&gt;"","DO NOT PHOTO",""),""))</f>
        <v/>
      </c>
      <c r="E34" s="9">
        <f>IF(OR($A34="",$H34=""),"",IFERROR(INDEX(Waivers!$A:$Z,ABS($H34),MATCH("*Emergency Contact Name*",Waivers!$1:$1,0))&amp;"  "&amp;INDEX(Waivers!$A:$Z,ABS($H34),MATCH("*Emergency Contact Phone*",Waivers!$1:$1,0)),""))</f>
        <v/>
      </c>
      <c r="F34" s="10" t="n"/>
      <c r="G34" s="9" t="n"/>
      <c r="H34">
        <f>IF($A34="","",IFERROR(MATCH(TRIM($B34),INDEX(Waivers!$A:$Z,0,MATCH("*Email*",Waivers!$1:$1,0)),0),IFERROR(-MATCH(TRIM($A34),INDEX(Waivers!$A:$Z,0,MATCH("*Participant Name*",Waivers!$1:$1,0)),0),"")))</f>
        <v/>
      </c>
    </row>
    <row r="35" ht="22" customHeight="1">
      <c r="A35" s="9" t="n"/>
      <c r="B35" s="9" t="n"/>
      <c r="C35" s="9">
        <f>IF($A35="","",IFERROR(IF($H35="","NOT SIGNED",IF($H35&gt;0,"YES","YES - check name")),"check headings"))</f>
        <v/>
      </c>
      <c r="D35" s="9">
        <f>IF(OR($A35="",$H35=""),"",IFERROR(IF(INDEX(Waivers!$A:$Z,ABS($H35),MATCH("*hotograph*",Waivers!$1:$1,0))&lt;&gt;"","DO NOT PHOTO",""),""))</f>
        <v/>
      </c>
      <c r="E35" s="9">
        <f>IF(OR($A35="",$H35=""),"",IFERROR(INDEX(Waivers!$A:$Z,ABS($H35),MATCH("*Emergency Contact Name*",Waivers!$1:$1,0))&amp;"  "&amp;INDEX(Waivers!$A:$Z,ABS($H35),MATCH("*Emergency Contact Phone*",Waivers!$1:$1,0)),""))</f>
        <v/>
      </c>
      <c r="F35" s="10" t="n"/>
      <c r="G35" s="9" t="n"/>
      <c r="H35">
        <f>IF($A35="","",IFERROR(MATCH(TRIM($B35),INDEX(Waivers!$A:$Z,0,MATCH("*Email*",Waivers!$1:$1,0)),0),IFERROR(-MATCH(TRIM($A35),INDEX(Waivers!$A:$Z,0,MATCH("*Participant Name*",Waivers!$1:$1,0)),0),"")))</f>
        <v/>
      </c>
    </row>
    <row r="36" ht="22" customHeight="1">
      <c r="A36" s="9" t="n"/>
      <c r="B36" s="9" t="n"/>
      <c r="C36" s="9">
        <f>IF($A36="","",IFERROR(IF($H36="","NOT SIGNED",IF($H36&gt;0,"YES","YES - check name")),"check headings"))</f>
        <v/>
      </c>
      <c r="D36" s="9">
        <f>IF(OR($A36="",$H36=""),"",IFERROR(IF(INDEX(Waivers!$A:$Z,ABS($H36),MATCH("*hotograph*",Waivers!$1:$1,0))&lt;&gt;"","DO NOT PHOTO",""),""))</f>
        <v/>
      </c>
      <c r="E36" s="9">
        <f>IF(OR($A36="",$H36=""),"",IFERROR(INDEX(Waivers!$A:$Z,ABS($H36),MATCH("*Emergency Contact Name*",Waivers!$1:$1,0))&amp;"  "&amp;INDEX(Waivers!$A:$Z,ABS($H36),MATCH("*Emergency Contact Phone*",Waivers!$1:$1,0)),""))</f>
        <v/>
      </c>
      <c r="F36" s="10" t="n"/>
      <c r="G36" s="9" t="n"/>
      <c r="H36">
        <f>IF($A36="","",IFERROR(MATCH(TRIM($B36),INDEX(Waivers!$A:$Z,0,MATCH("*Email*",Waivers!$1:$1,0)),0),IFERROR(-MATCH(TRIM($A36),INDEX(Waivers!$A:$Z,0,MATCH("*Participant Name*",Waivers!$1:$1,0)),0),"")))</f>
        <v/>
      </c>
    </row>
    <row r="37" ht="22" customHeight="1">
      <c r="A37" s="9" t="n"/>
      <c r="B37" s="9" t="n"/>
      <c r="C37" s="9">
        <f>IF($A37="","",IFERROR(IF($H37="","NOT SIGNED",IF($H37&gt;0,"YES","YES - check name")),"check headings"))</f>
        <v/>
      </c>
      <c r="D37" s="9">
        <f>IF(OR($A37="",$H37=""),"",IFERROR(IF(INDEX(Waivers!$A:$Z,ABS($H37),MATCH("*hotograph*",Waivers!$1:$1,0))&lt;&gt;"","DO NOT PHOTO",""),""))</f>
        <v/>
      </c>
      <c r="E37" s="9">
        <f>IF(OR($A37="",$H37=""),"",IFERROR(INDEX(Waivers!$A:$Z,ABS($H37),MATCH("*Emergency Contact Name*",Waivers!$1:$1,0))&amp;"  "&amp;INDEX(Waivers!$A:$Z,ABS($H37),MATCH("*Emergency Contact Phone*",Waivers!$1:$1,0)),""))</f>
        <v/>
      </c>
      <c r="F37" s="10" t="n"/>
      <c r="G37" s="9" t="n"/>
      <c r="H37">
        <f>IF($A37="","",IFERROR(MATCH(TRIM($B37),INDEX(Waivers!$A:$Z,0,MATCH("*Email*",Waivers!$1:$1,0)),0),IFERROR(-MATCH(TRIM($A37),INDEX(Waivers!$A:$Z,0,MATCH("*Participant Name*",Waivers!$1:$1,0)),0),"")))</f>
        <v/>
      </c>
    </row>
    <row r="38" ht="22" customHeight="1">
      <c r="A38" s="9" t="n"/>
      <c r="B38" s="9" t="n"/>
      <c r="C38" s="9">
        <f>IF($A38="","",IFERROR(IF($H38="","NOT SIGNED",IF($H38&gt;0,"YES","YES - check name")),"check headings"))</f>
        <v/>
      </c>
      <c r="D38" s="9">
        <f>IF(OR($A38="",$H38=""),"",IFERROR(IF(INDEX(Waivers!$A:$Z,ABS($H38),MATCH("*hotograph*",Waivers!$1:$1,0))&lt;&gt;"","DO NOT PHOTO",""),""))</f>
        <v/>
      </c>
      <c r="E38" s="9">
        <f>IF(OR($A38="",$H38=""),"",IFERROR(INDEX(Waivers!$A:$Z,ABS($H38),MATCH("*Emergency Contact Name*",Waivers!$1:$1,0))&amp;"  "&amp;INDEX(Waivers!$A:$Z,ABS($H38),MATCH("*Emergency Contact Phone*",Waivers!$1:$1,0)),""))</f>
        <v/>
      </c>
      <c r="F38" s="10" t="n"/>
      <c r="G38" s="9" t="n"/>
      <c r="H38">
        <f>IF($A38="","",IFERROR(MATCH(TRIM($B38),INDEX(Waivers!$A:$Z,0,MATCH("*Email*",Waivers!$1:$1,0)),0),IFERROR(-MATCH(TRIM($A38),INDEX(Waivers!$A:$Z,0,MATCH("*Participant Name*",Waivers!$1:$1,0)),0),"")))</f>
        <v/>
      </c>
    </row>
    <row r="39" ht="22" customHeight="1">
      <c r="A39" s="9" t="n"/>
      <c r="B39" s="9" t="n"/>
      <c r="C39" s="9">
        <f>IF($A39="","",IFERROR(IF($H39="","NOT SIGNED",IF($H39&gt;0,"YES","YES - check name")),"check headings"))</f>
        <v/>
      </c>
      <c r="D39" s="9">
        <f>IF(OR($A39="",$H39=""),"",IFERROR(IF(INDEX(Waivers!$A:$Z,ABS($H39),MATCH("*hotograph*",Waivers!$1:$1,0))&lt;&gt;"","DO NOT PHOTO",""),""))</f>
        <v/>
      </c>
      <c r="E39" s="9">
        <f>IF(OR($A39="",$H39=""),"",IFERROR(INDEX(Waivers!$A:$Z,ABS($H39),MATCH("*Emergency Contact Name*",Waivers!$1:$1,0))&amp;"  "&amp;INDEX(Waivers!$A:$Z,ABS($H39),MATCH("*Emergency Contact Phone*",Waivers!$1:$1,0)),""))</f>
        <v/>
      </c>
      <c r="F39" s="10" t="n"/>
      <c r="G39" s="9" t="n"/>
      <c r="H39">
        <f>IF($A39="","",IFERROR(MATCH(TRIM($B39),INDEX(Waivers!$A:$Z,0,MATCH("*Email*",Waivers!$1:$1,0)),0),IFERROR(-MATCH(TRIM($A39),INDEX(Waivers!$A:$Z,0,MATCH("*Participant Name*",Waivers!$1:$1,0)),0),"")))</f>
        <v/>
      </c>
    </row>
    <row r="40" ht="22" customHeight="1">
      <c r="A40" s="9" t="n"/>
      <c r="B40" s="9" t="n"/>
      <c r="C40" s="9">
        <f>IF($A40="","",IFERROR(IF($H40="","NOT SIGNED",IF($H40&gt;0,"YES","YES - check name")),"check headings"))</f>
        <v/>
      </c>
      <c r="D40" s="9">
        <f>IF(OR($A40="",$H40=""),"",IFERROR(IF(INDEX(Waivers!$A:$Z,ABS($H40),MATCH("*hotograph*",Waivers!$1:$1,0))&lt;&gt;"","DO NOT PHOTO",""),""))</f>
        <v/>
      </c>
      <c r="E40" s="9">
        <f>IF(OR($A40="",$H40=""),"",IFERROR(INDEX(Waivers!$A:$Z,ABS($H40),MATCH("*Emergency Contact Name*",Waivers!$1:$1,0))&amp;"  "&amp;INDEX(Waivers!$A:$Z,ABS($H40),MATCH("*Emergency Contact Phone*",Waivers!$1:$1,0)),""))</f>
        <v/>
      </c>
      <c r="F40" s="10" t="n"/>
      <c r="G40" s="9" t="n"/>
      <c r="H40">
        <f>IF($A40="","",IFERROR(MATCH(TRIM($B40),INDEX(Waivers!$A:$Z,0,MATCH("*Email*",Waivers!$1:$1,0)),0),IFERROR(-MATCH(TRIM($A40),INDEX(Waivers!$A:$Z,0,MATCH("*Participant Name*",Waivers!$1:$1,0)),0),"")))</f>
        <v/>
      </c>
    </row>
    <row r="41" ht="22" customHeight="1">
      <c r="A41" s="9" t="n"/>
      <c r="B41" s="9" t="n"/>
      <c r="C41" s="9">
        <f>IF($A41="","",IFERROR(IF($H41="","NOT SIGNED",IF($H41&gt;0,"YES","YES - check name")),"check headings"))</f>
        <v/>
      </c>
      <c r="D41" s="9">
        <f>IF(OR($A41="",$H41=""),"",IFERROR(IF(INDEX(Waivers!$A:$Z,ABS($H41),MATCH("*hotograph*",Waivers!$1:$1,0))&lt;&gt;"","DO NOT PHOTO",""),""))</f>
        <v/>
      </c>
      <c r="E41" s="9">
        <f>IF(OR($A41="",$H41=""),"",IFERROR(INDEX(Waivers!$A:$Z,ABS($H41),MATCH("*Emergency Contact Name*",Waivers!$1:$1,0))&amp;"  "&amp;INDEX(Waivers!$A:$Z,ABS($H41),MATCH("*Emergency Contact Phone*",Waivers!$1:$1,0)),""))</f>
        <v/>
      </c>
      <c r="F41" s="10" t="n"/>
      <c r="G41" s="9" t="n"/>
      <c r="H41">
        <f>IF($A41="","",IFERROR(MATCH(TRIM($B41),INDEX(Waivers!$A:$Z,0,MATCH("*Email*",Waivers!$1:$1,0)),0),IFERROR(-MATCH(TRIM($A41),INDEX(Waivers!$A:$Z,0,MATCH("*Participant Name*",Waivers!$1:$1,0)),0),"")))</f>
        <v/>
      </c>
    </row>
  </sheetData>
  <conditionalFormatting sqref="C2:C41">
    <cfRule type="cellIs" priority="1" operator="equal" dxfId="0">
      <formula>"NOT SIGNED"</formula>
    </cfRule>
    <cfRule type="cellIs" priority="2" operator="equal" dxfId="1">
      <formula>"YES"</formula>
    </cfRule>
    <cfRule type="cellIs" priority="3" operator="equal" dxfId="2">
      <formula>"YES - check name"</formula>
    </cfRule>
  </conditionalFormatting>
  <conditionalFormatting sqref="D2:D41">
    <cfRule type="cellIs" priority="4" operator="equal" dxfId="3">
      <formula>"DO NOT PHOTO"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EC0B2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Paste the whole waiver response sheet here, including its heading row, starting in this cell.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2026-10-09T22:58:06Z</dcterms:created>
  <dcterms:modified xsi:type="dcterms:W3CDTF">2026-10-09T22:58:06Z</dcterms:modified>
</cp:coreProperties>
</file>